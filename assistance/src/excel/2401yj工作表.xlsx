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VScode\code\xuao\assistance\src\excel\"/>
    </mc:Choice>
  </mc:AlternateContent>
  <xr:revisionPtr revIDLastSave="0" documentId="13_ncr:1_{37B8056E-48BD-4B93-BC16-CA87BB6C8BD5}" xr6:coauthVersionLast="47" xr6:coauthVersionMax="47" xr10:uidLastSave="{00000000-0000-0000-0000-000000000000}"/>
  <bookViews>
    <workbookView xWindow="-110" yWindow="-110" windowWidth="25820" windowHeight="16220" activeTab="2" xr2:uid="{00000000-000D-0000-FFFF-FFFF00000000}"/>
  </bookViews>
  <sheets>
    <sheet name="2401yj 工作表" sheetId="1" r:id="rId1"/>
    <sheet name="差旅费报销单" sheetId="2" r:id="rId2"/>
    <sheet name="员工借款单" sheetId="3" r:id="rId3"/>
  </sheets>
  <definedNames>
    <definedName name="_xlnm._FilterDatabase" localSheetId="0" hidden="1">'2401yj 工作表'!$A$2:$I$13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3" l="1"/>
  <c r="L16" i="2"/>
</calcChain>
</file>

<file path=xl/sharedStrings.xml><?xml version="1.0" encoding="utf-8"?>
<sst xmlns="http://schemas.openxmlformats.org/spreadsheetml/2006/main" count="137" uniqueCount="100">
  <si>
    <t>员工通讯录</t>
    <phoneticPr fontId="1" type="noConversion"/>
  </si>
  <si>
    <t>编号</t>
    <phoneticPr fontId="1" type="noConversion"/>
  </si>
  <si>
    <t>姓名</t>
    <phoneticPr fontId="1" type="noConversion"/>
  </si>
  <si>
    <t>性别</t>
    <phoneticPr fontId="1" type="noConversion"/>
  </si>
  <si>
    <t>学历</t>
    <phoneticPr fontId="1" type="noConversion"/>
  </si>
  <si>
    <t>部门</t>
    <phoneticPr fontId="1" type="noConversion"/>
  </si>
  <si>
    <t>职务</t>
    <phoneticPr fontId="1" type="noConversion"/>
  </si>
  <si>
    <t>办公电话</t>
    <phoneticPr fontId="1" type="noConversion"/>
  </si>
  <si>
    <t>手机</t>
    <phoneticPr fontId="1" type="noConversion"/>
  </si>
  <si>
    <t>Email地址</t>
    <phoneticPr fontId="1" type="noConversion"/>
  </si>
  <si>
    <t>XS001</t>
    <phoneticPr fontId="1" type="noConversion"/>
  </si>
  <si>
    <t>XS002</t>
    <phoneticPr fontId="1" type="noConversion"/>
  </si>
  <si>
    <t>XS003</t>
    <phoneticPr fontId="1" type="noConversion"/>
  </si>
  <si>
    <t>XS004</t>
    <phoneticPr fontId="1" type="noConversion"/>
  </si>
  <si>
    <t>XS005</t>
    <phoneticPr fontId="1" type="noConversion"/>
  </si>
  <si>
    <t>XS006</t>
    <phoneticPr fontId="1" type="noConversion"/>
  </si>
  <si>
    <t>XS007</t>
    <phoneticPr fontId="1" type="noConversion"/>
  </si>
  <si>
    <t>XS008</t>
    <phoneticPr fontId="1" type="noConversion"/>
  </si>
  <si>
    <t>XS009</t>
    <phoneticPr fontId="1" type="noConversion"/>
  </si>
  <si>
    <t>XS010</t>
    <phoneticPr fontId="1" type="noConversion"/>
  </si>
  <si>
    <t>XS011</t>
    <phoneticPr fontId="1" type="noConversion"/>
  </si>
  <si>
    <t xml:space="preserve">程晓利 </t>
    <phoneticPr fontId="1" type="noConversion"/>
  </si>
  <si>
    <t>张艳</t>
    <phoneticPr fontId="1" type="noConversion"/>
  </si>
  <si>
    <t>卢红</t>
    <phoneticPr fontId="1" type="noConversion"/>
  </si>
  <si>
    <t>李小贤</t>
    <phoneticPr fontId="1" type="noConversion"/>
  </si>
  <si>
    <t>杜悦</t>
    <phoneticPr fontId="1" type="noConversion"/>
  </si>
  <si>
    <t>刘大为</t>
    <phoneticPr fontId="1" type="noConversion"/>
  </si>
  <si>
    <t>唐艳霞</t>
    <phoneticPr fontId="1" type="noConversion"/>
  </si>
  <si>
    <t>张甜</t>
    <phoneticPr fontId="1" type="noConversion"/>
  </si>
  <si>
    <t>李长青</t>
    <phoneticPr fontId="1" type="noConversion"/>
  </si>
  <si>
    <t>张锦程</t>
    <phoneticPr fontId="1" type="noConversion"/>
  </si>
  <si>
    <t>卢晓欧</t>
    <phoneticPr fontId="1" type="noConversion"/>
  </si>
  <si>
    <t>女</t>
    <phoneticPr fontId="1" type="noConversion"/>
  </si>
  <si>
    <t>男</t>
    <phoneticPr fontId="1" type="noConversion"/>
  </si>
  <si>
    <t>大学</t>
    <phoneticPr fontId="1" type="noConversion"/>
  </si>
  <si>
    <t>大专</t>
    <phoneticPr fontId="1" type="noConversion"/>
  </si>
  <si>
    <t>博士</t>
    <phoneticPr fontId="1" type="noConversion"/>
  </si>
  <si>
    <t>销售部</t>
    <phoneticPr fontId="1" type="noConversion"/>
  </si>
  <si>
    <t>企划部</t>
    <phoneticPr fontId="1" type="noConversion"/>
  </si>
  <si>
    <t>行政部</t>
    <phoneticPr fontId="1" type="noConversion"/>
  </si>
  <si>
    <t>门市经理</t>
    <phoneticPr fontId="1" type="noConversion"/>
  </si>
  <si>
    <t>经理助理</t>
    <phoneticPr fontId="1" type="noConversion"/>
  </si>
  <si>
    <t>营业员</t>
    <phoneticPr fontId="1" type="noConversion"/>
  </si>
  <si>
    <t>处长</t>
    <phoneticPr fontId="1" type="noConversion"/>
  </si>
  <si>
    <t>职员</t>
    <phoneticPr fontId="1" type="noConversion"/>
  </si>
  <si>
    <t>经理</t>
    <phoneticPr fontId="1" type="noConversion"/>
  </si>
  <si>
    <t>cheng@hotmal11.com</t>
    <phoneticPr fontId="1" type="noConversion"/>
  </si>
  <si>
    <t>zhang@hotmal11.com</t>
    <phoneticPr fontId="1" type="noConversion"/>
  </si>
  <si>
    <t>lu@hotmal11.com</t>
    <phoneticPr fontId="1" type="noConversion"/>
  </si>
  <si>
    <t>du@hotmal11.com</t>
    <phoneticPr fontId="1" type="noConversion"/>
  </si>
  <si>
    <t>li@hotmal11.com</t>
    <phoneticPr fontId="1" type="noConversion"/>
  </si>
  <si>
    <t>tang@hotmal11.com</t>
    <phoneticPr fontId="1" type="noConversion"/>
  </si>
  <si>
    <t>liu@hotmal11.com</t>
    <phoneticPr fontId="1" type="noConversion"/>
  </si>
  <si>
    <t>差  旅  费  报  销  单</t>
    <phoneticPr fontId="1" type="noConversion"/>
  </si>
  <si>
    <t>部门：</t>
    <phoneticPr fontId="1" type="noConversion"/>
  </si>
  <si>
    <t>报销日期：</t>
    <phoneticPr fontId="1" type="noConversion"/>
  </si>
  <si>
    <t>姓  名</t>
    <phoneticPr fontId="1" type="noConversion"/>
  </si>
  <si>
    <t>事  由</t>
    <phoneticPr fontId="1" type="noConversion"/>
  </si>
  <si>
    <t>日  期</t>
    <phoneticPr fontId="1" type="noConversion"/>
  </si>
  <si>
    <t>起</t>
    <phoneticPr fontId="1" type="noConversion"/>
  </si>
  <si>
    <t>讫</t>
    <phoneticPr fontId="1" type="noConversion"/>
  </si>
  <si>
    <t>车别</t>
    <phoneticPr fontId="1" type="noConversion"/>
  </si>
  <si>
    <t>金额</t>
    <phoneticPr fontId="1" type="noConversion"/>
  </si>
  <si>
    <t>补       贴</t>
    <phoneticPr fontId="1" type="noConversion"/>
  </si>
  <si>
    <t>报 销 单 据</t>
    <phoneticPr fontId="1" type="noConversion"/>
  </si>
  <si>
    <t>项目</t>
    <phoneticPr fontId="1" type="noConversion"/>
  </si>
  <si>
    <t>月</t>
    <phoneticPr fontId="1" type="noConversion"/>
  </si>
  <si>
    <t>日</t>
    <phoneticPr fontId="1" type="noConversion"/>
  </si>
  <si>
    <t>地点</t>
    <phoneticPr fontId="1" type="noConversion"/>
  </si>
  <si>
    <t>天</t>
    <phoneticPr fontId="1" type="noConversion"/>
  </si>
  <si>
    <t>住宿费</t>
    <phoneticPr fontId="1" type="noConversion"/>
  </si>
  <si>
    <t>邮电费</t>
    <phoneticPr fontId="1" type="noConversion"/>
  </si>
  <si>
    <t>市内交通费</t>
    <phoneticPr fontId="1" type="noConversion"/>
  </si>
  <si>
    <t>其他</t>
    <phoneticPr fontId="1" type="noConversion"/>
  </si>
  <si>
    <t>合           计</t>
    <phoneticPr fontId="1" type="noConversion"/>
  </si>
  <si>
    <t>附单据     张：共计人民币（大写）       万        仟        佰       拾        元        角         分正￥：＿＿＿＿</t>
    <phoneticPr fontId="1" type="noConversion"/>
  </si>
  <si>
    <t>公司负责人：                                          财务：                                                            报  销  人：</t>
    <phoneticPr fontId="1" type="noConversion"/>
  </si>
  <si>
    <t>借            款               单</t>
    <phoneticPr fontId="1" type="noConversion"/>
  </si>
  <si>
    <t>公司名称</t>
    <phoneticPr fontId="1" type="noConversion"/>
  </si>
  <si>
    <t>单据日期</t>
    <phoneticPr fontId="1" type="noConversion"/>
  </si>
  <si>
    <t>借款人</t>
    <phoneticPr fontId="1" type="noConversion"/>
  </si>
  <si>
    <t>部门名称</t>
    <phoneticPr fontId="1" type="noConversion"/>
  </si>
  <si>
    <t>联系电话</t>
    <phoneticPr fontId="1" type="noConversion"/>
  </si>
  <si>
    <t>收款人</t>
    <phoneticPr fontId="1" type="noConversion"/>
  </si>
  <si>
    <t>收款银行</t>
    <phoneticPr fontId="1" type="noConversion"/>
  </si>
  <si>
    <t>收款账户</t>
    <phoneticPr fontId="1" type="noConversion"/>
  </si>
  <si>
    <t>支付方式</t>
    <phoneticPr fontId="1" type="noConversion"/>
  </si>
  <si>
    <t>现金□支票□网银支付□</t>
    <phoneticPr fontId="1" type="noConversion"/>
  </si>
  <si>
    <t>借款理由</t>
    <phoneticPr fontId="1" type="noConversion"/>
  </si>
  <si>
    <t>借款金额</t>
    <phoneticPr fontId="1" type="noConversion"/>
  </si>
  <si>
    <t>合计</t>
    <phoneticPr fontId="1" type="noConversion"/>
  </si>
  <si>
    <t>(大写）</t>
    <phoneticPr fontId="1" type="noConversion"/>
  </si>
  <si>
    <t>¥</t>
    <phoneticPr fontId="1" type="noConversion"/>
  </si>
  <si>
    <t>董事长</t>
    <phoneticPr fontId="1" type="noConversion"/>
  </si>
  <si>
    <t>财务总监</t>
    <phoneticPr fontId="1" type="noConversion"/>
  </si>
  <si>
    <t>财务经理</t>
    <phoneticPr fontId="1" type="noConversion"/>
  </si>
  <si>
    <t>部门负责人</t>
    <phoneticPr fontId="1" type="noConversion"/>
  </si>
  <si>
    <t>总裁</t>
    <phoneticPr fontId="1" type="noConversion"/>
  </si>
  <si>
    <t>分管副经理</t>
    <phoneticPr fontId="1" type="noConversion"/>
  </si>
  <si>
    <t>财务会计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</si>
</sst>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.00_);\(&quot;¥&quot;#,##0.00\)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36"/>
      <color theme="1"/>
      <name val="黑体"/>
      <family val="3"/>
      <charset val="134"/>
    </font>
    <font>
      <u/>
      <sz val="11"/>
      <color theme="10"/>
      <name val="等线"/>
      <family val="2"/>
      <scheme val="minor"/>
    </font>
    <font>
      <b/>
      <sz val="14"/>
      <color theme="1"/>
      <name val="黑体"/>
      <family val="3"/>
      <charset val="134"/>
    </font>
    <font>
      <b/>
      <u/>
      <sz val="16"/>
      <color theme="1"/>
      <name val="黑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3" fillId="0" borderId="0" xfId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176" fontId="0" fillId="0" borderId="1" xfId="0" applyNumberFormat="1" applyBorder="1"/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9" xfId="0" applyBorder="1" applyProtection="1">
      <protection locked="0"/>
    </xf>
    <xf numFmtId="0" fontId="0" fillId="2" borderId="1" xfId="0" applyFill="1" applyBorder="1"/>
    <xf numFmtId="0" fontId="0" fillId="2" borderId="1" xfId="0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0" fontId="0" fillId="2" borderId="0" xfId="0" applyFill="1" applyProtection="1"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textRotation="255"/>
    </xf>
    <xf numFmtId="0" fontId="7" fillId="0" borderId="1" xfId="0" applyFont="1" applyBorder="1" applyAlignment="1">
      <alignment horizontal="center" vertical="center" textRotation="255"/>
    </xf>
    <xf numFmtId="0" fontId="0" fillId="2" borderId="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zhang@hotmal11.com" TargetMode="External"/><Relationship Id="rId3" Type="http://schemas.openxmlformats.org/officeDocument/2006/relationships/hyperlink" Target="mailto:lu@hotmal11.com" TargetMode="External"/><Relationship Id="rId7" Type="http://schemas.openxmlformats.org/officeDocument/2006/relationships/hyperlink" Target="mailto:tang@hotmal11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zhang@hotmal11.com" TargetMode="External"/><Relationship Id="rId1" Type="http://schemas.openxmlformats.org/officeDocument/2006/relationships/hyperlink" Target="mailto:cheng@hotmal11.com" TargetMode="External"/><Relationship Id="rId6" Type="http://schemas.openxmlformats.org/officeDocument/2006/relationships/hyperlink" Target="mailto:liu@hotmal11.com" TargetMode="External"/><Relationship Id="rId11" Type="http://schemas.openxmlformats.org/officeDocument/2006/relationships/hyperlink" Target="mailto:lu@hotmal11.com" TargetMode="External"/><Relationship Id="rId5" Type="http://schemas.openxmlformats.org/officeDocument/2006/relationships/hyperlink" Target="mailto:du@hotmal11.com" TargetMode="External"/><Relationship Id="rId10" Type="http://schemas.openxmlformats.org/officeDocument/2006/relationships/hyperlink" Target="mailto:zhang@hotmal11.com" TargetMode="External"/><Relationship Id="rId4" Type="http://schemas.openxmlformats.org/officeDocument/2006/relationships/hyperlink" Target="mailto:li@hotmal11.com" TargetMode="External"/><Relationship Id="rId9" Type="http://schemas.openxmlformats.org/officeDocument/2006/relationships/hyperlink" Target="mailto:li@hotmal11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zoomScale="145" zoomScaleNormal="145" workbookViewId="0">
      <selection activeCell="J13" sqref="J13"/>
    </sheetView>
  </sheetViews>
  <sheetFormatPr defaultRowHeight="14" x14ac:dyDescent="0.3"/>
  <cols>
    <col min="7" max="7" width="11.08203125" bestFit="1" customWidth="1"/>
    <col min="8" max="8" width="12.33203125" bestFit="1" customWidth="1"/>
    <col min="9" max="9" width="19.9140625" bestFit="1" customWidth="1"/>
  </cols>
  <sheetData>
    <row r="1" spans="1:9" ht="45.5" x14ac:dyDescent="0.75">
      <c r="A1" s="21" t="s">
        <v>0</v>
      </c>
      <c r="B1" s="21"/>
      <c r="C1" s="21"/>
      <c r="D1" s="21"/>
      <c r="E1" s="21"/>
      <c r="F1" s="21"/>
      <c r="G1" s="21"/>
      <c r="H1" s="21"/>
      <c r="I1" s="21"/>
    </row>
    <row r="2" spans="1:9" ht="17.5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3">
      <c r="A3" s="1" t="s">
        <v>20</v>
      </c>
      <c r="B3" s="1" t="s">
        <v>31</v>
      </c>
      <c r="C3" s="1" t="s">
        <v>32</v>
      </c>
      <c r="D3" s="1" t="s">
        <v>34</v>
      </c>
      <c r="E3" s="1" t="s">
        <v>39</v>
      </c>
      <c r="F3" s="1" t="s">
        <v>44</v>
      </c>
      <c r="G3" s="1">
        <v>23698754</v>
      </c>
      <c r="H3" s="1">
        <v>13855115511</v>
      </c>
      <c r="I3" s="2" t="s">
        <v>48</v>
      </c>
    </row>
    <row r="4" spans="1:9" x14ac:dyDescent="0.3">
      <c r="A4" s="1" t="s">
        <v>18</v>
      </c>
      <c r="B4" s="1" t="s">
        <v>29</v>
      </c>
      <c r="C4" s="1" t="s">
        <v>33</v>
      </c>
      <c r="D4" s="1" t="s">
        <v>34</v>
      </c>
      <c r="E4" s="1" t="s">
        <v>39</v>
      </c>
      <c r="F4" s="1" t="s">
        <v>45</v>
      </c>
      <c r="G4" s="1">
        <v>25986746</v>
      </c>
      <c r="H4" s="1">
        <v>13855115509</v>
      </c>
      <c r="I4" s="2" t="s">
        <v>50</v>
      </c>
    </row>
    <row r="5" spans="1:9" x14ac:dyDescent="0.3">
      <c r="A5" s="1" t="s">
        <v>19</v>
      </c>
      <c r="B5" s="1" t="s">
        <v>30</v>
      </c>
      <c r="C5" s="1" t="s">
        <v>33</v>
      </c>
      <c r="D5" s="1" t="s">
        <v>34</v>
      </c>
      <c r="E5" s="1" t="s">
        <v>39</v>
      </c>
      <c r="F5" s="1" t="s">
        <v>43</v>
      </c>
      <c r="G5" s="1">
        <v>26359875</v>
      </c>
      <c r="H5" s="1">
        <v>13855115510</v>
      </c>
      <c r="I5" s="2" t="s">
        <v>47</v>
      </c>
    </row>
    <row r="6" spans="1:9" x14ac:dyDescent="0.3">
      <c r="A6" s="1" t="s">
        <v>17</v>
      </c>
      <c r="B6" s="1" t="s">
        <v>28</v>
      </c>
      <c r="C6" s="1" t="s">
        <v>32</v>
      </c>
      <c r="D6" s="1" t="s">
        <v>34</v>
      </c>
      <c r="E6" s="1" t="s">
        <v>38</v>
      </c>
      <c r="F6" s="1" t="s">
        <v>44</v>
      </c>
      <c r="G6" s="1">
        <v>25478965</v>
      </c>
      <c r="H6" s="1">
        <v>13855115508</v>
      </c>
      <c r="I6" s="2" t="s">
        <v>47</v>
      </c>
    </row>
    <row r="7" spans="1:9" x14ac:dyDescent="0.3">
      <c r="A7" s="1" t="s">
        <v>15</v>
      </c>
      <c r="B7" s="1" t="s">
        <v>26</v>
      </c>
      <c r="C7" s="1" t="s">
        <v>33</v>
      </c>
      <c r="D7" s="1" t="s">
        <v>36</v>
      </c>
      <c r="E7" s="1" t="s">
        <v>38</v>
      </c>
      <c r="F7" s="1" t="s">
        <v>41</v>
      </c>
      <c r="G7" s="1">
        <v>24598738</v>
      </c>
      <c r="H7" s="1">
        <v>13855115506</v>
      </c>
      <c r="I7" s="2" t="s">
        <v>52</v>
      </c>
    </row>
    <row r="8" spans="1:9" x14ac:dyDescent="0.3">
      <c r="A8" s="1" t="s">
        <v>16</v>
      </c>
      <c r="B8" s="1" t="s">
        <v>27</v>
      </c>
      <c r="C8" s="1" t="s">
        <v>32</v>
      </c>
      <c r="D8" s="1" t="s">
        <v>34</v>
      </c>
      <c r="E8" s="1" t="s">
        <v>38</v>
      </c>
      <c r="F8" s="1" t="s">
        <v>43</v>
      </c>
      <c r="G8" s="1">
        <v>26587958</v>
      </c>
      <c r="H8" s="1">
        <v>13855115507</v>
      </c>
      <c r="I8" s="2" t="s">
        <v>51</v>
      </c>
    </row>
    <row r="9" spans="1:9" x14ac:dyDescent="0.3">
      <c r="A9" s="1" t="s">
        <v>12</v>
      </c>
      <c r="B9" s="1" t="s">
        <v>23</v>
      </c>
      <c r="C9" s="1" t="s">
        <v>32</v>
      </c>
      <c r="D9" s="1" t="s">
        <v>35</v>
      </c>
      <c r="E9" s="1" t="s">
        <v>37</v>
      </c>
      <c r="F9" s="1" t="s">
        <v>42</v>
      </c>
      <c r="G9" s="1">
        <v>26859756</v>
      </c>
      <c r="H9" s="1">
        <v>13855115503</v>
      </c>
      <c r="I9" s="2" t="s">
        <v>48</v>
      </c>
    </row>
    <row r="10" spans="1:9" x14ac:dyDescent="0.3">
      <c r="A10" s="1" t="s">
        <v>13</v>
      </c>
      <c r="B10" s="1" t="s">
        <v>24</v>
      </c>
      <c r="C10" s="1" t="s">
        <v>32</v>
      </c>
      <c r="D10" s="1" t="s">
        <v>35</v>
      </c>
      <c r="E10" s="1" t="s">
        <v>37</v>
      </c>
      <c r="F10" s="1" t="s">
        <v>42</v>
      </c>
      <c r="G10" s="1">
        <v>26895326</v>
      </c>
      <c r="H10" s="1">
        <v>13855115504</v>
      </c>
      <c r="I10" s="2" t="s">
        <v>50</v>
      </c>
    </row>
    <row r="11" spans="1:9" x14ac:dyDescent="0.3">
      <c r="A11" s="1" t="s">
        <v>14</v>
      </c>
      <c r="B11" s="1" t="s">
        <v>25</v>
      </c>
      <c r="C11" s="1" t="s">
        <v>32</v>
      </c>
      <c r="D11" s="1" t="s">
        <v>35</v>
      </c>
      <c r="E11" s="1" t="s">
        <v>37</v>
      </c>
      <c r="F11" s="1" t="s">
        <v>42</v>
      </c>
      <c r="G11" s="1">
        <v>26849752</v>
      </c>
      <c r="H11" s="1">
        <v>13855115505</v>
      </c>
      <c r="I11" s="2" t="s">
        <v>49</v>
      </c>
    </row>
    <row r="12" spans="1:9" x14ac:dyDescent="0.3">
      <c r="A12" s="1" t="s">
        <v>10</v>
      </c>
      <c r="B12" s="1" t="s">
        <v>21</v>
      </c>
      <c r="C12" s="1" t="s">
        <v>32</v>
      </c>
      <c r="D12" s="1" t="s">
        <v>34</v>
      </c>
      <c r="E12" s="1" t="s">
        <v>37</v>
      </c>
      <c r="F12" s="1" t="s">
        <v>40</v>
      </c>
      <c r="G12" s="1">
        <v>24785625</v>
      </c>
      <c r="H12" s="1">
        <v>13855115501</v>
      </c>
      <c r="I12" s="2" t="s">
        <v>46</v>
      </c>
    </row>
    <row r="13" spans="1:9" x14ac:dyDescent="0.3">
      <c r="A13" s="1" t="s">
        <v>11</v>
      </c>
      <c r="B13" s="1" t="s">
        <v>22</v>
      </c>
      <c r="C13" s="1" t="s">
        <v>32</v>
      </c>
      <c r="D13" s="1" t="s">
        <v>34</v>
      </c>
      <c r="E13" s="1" t="s">
        <v>37</v>
      </c>
      <c r="F13" s="1" t="s">
        <v>41</v>
      </c>
      <c r="G13" s="1">
        <v>24592468</v>
      </c>
      <c r="H13" s="1">
        <v>23855115512</v>
      </c>
      <c r="I13" s="2" t="s">
        <v>47</v>
      </c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</sheetData>
  <sortState xmlns:xlrd2="http://schemas.microsoft.com/office/spreadsheetml/2017/richdata2" ref="A3:I13">
    <sortCondition ref="E3:E13" customList="行政部，企划部，销售部"/>
    <sortCondition descending="1" ref="F3:F13"/>
  </sortState>
  <mergeCells count="1">
    <mergeCell ref="A1:I1"/>
  </mergeCells>
  <phoneticPr fontId="1" type="noConversion"/>
  <hyperlinks>
    <hyperlink ref="I12" r:id="rId1" xr:uid="{40A3A693-AC9A-44BA-B49F-D8875D5D7DE7}"/>
    <hyperlink ref="I13" r:id="rId2" xr:uid="{EA1CB8D0-6DA1-4C0B-B8C0-7948D1A70EFF}"/>
    <hyperlink ref="I9" r:id="rId3" xr:uid="{864D518F-2E04-418D-A7CB-BCB9E816111E}"/>
    <hyperlink ref="I10" r:id="rId4" xr:uid="{B3D80814-F491-4669-BF7A-B2572E1AEE66}"/>
    <hyperlink ref="I11" r:id="rId5" xr:uid="{C46D4EAC-3480-41A6-884C-ABCBAD31B487}"/>
    <hyperlink ref="I7" r:id="rId6" xr:uid="{5ABC2A17-4BE6-4185-AFB1-4CECCB87DA31}"/>
    <hyperlink ref="I8" r:id="rId7" xr:uid="{B63C415A-1E9B-4FB3-92B7-034F1C70E5D4}"/>
    <hyperlink ref="I6" r:id="rId8" xr:uid="{6DAA0BE7-D8EF-475F-98CA-87FE5BB748F1}"/>
    <hyperlink ref="I4" r:id="rId9" xr:uid="{59D8B257-4B5A-46B8-8CAA-F35644C2C7B8}"/>
    <hyperlink ref="I5" r:id="rId10" xr:uid="{8FA6721D-A2C3-49B5-8B49-5C1373DFE280}"/>
    <hyperlink ref="I3" r:id="rId11" xr:uid="{CDEF39AE-E24B-4703-8BAC-A1671845B94C}"/>
  </hyperlinks>
  <pageMargins left="0.7" right="0.7" top="0.75" bottom="0.75" header="0.3" footer="0.3"/>
  <pageSetup paperSize="9"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1193-AAF8-49C1-A2F7-BDCE792EBAE7}">
  <dimension ref="A1:L19"/>
  <sheetViews>
    <sheetView zoomScale="145" zoomScaleNormal="145" workbookViewId="0">
      <selection activeCell="M19" sqref="M19"/>
    </sheetView>
  </sheetViews>
  <sheetFormatPr defaultRowHeight="14" x14ac:dyDescent="0.3"/>
  <sheetData>
    <row r="1" spans="1:12" ht="21" x14ac:dyDescent="0.3">
      <c r="A1" s="25" t="s">
        <v>53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x14ac:dyDescent="0.3">
      <c r="A2" s="24" t="s">
        <v>54</v>
      </c>
      <c r="B2" s="24"/>
      <c r="C2" s="4"/>
      <c r="D2" s="4"/>
      <c r="E2" s="4"/>
      <c r="F2" s="4"/>
      <c r="G2" s="4"/>
      <c r="H2" s="4"/>
      <c r="I2" s="4"/>
      <c r="J2" s="24" t="s">
        <v>55</v>
      </c>
      <c r="K2" s="24"/>
      <c r="L2" s="24"/>
    </row>
    <row r="3" spans="1:12" x14ac:dyDescent="0.3">
      <c r="A3" s="22" t="s">
        <v>56</v>
      </c>
      <c r="B3" s="22"/>
      <c r="C3" s="6"/>
      <c r="D3" s="6"/>
      <c r="E3" s="6"/>
      <c r="F3" s="6"/>
      <c r="G3" s="5" t="s">
        <v>57</v>
      </c>
      <c r="H3" s="26"/>
      <c r="I3" s="26"/>
      <c r="J3" s="26"/>
      <c r="K3" s="26"/>
      <c r="L3" s="26"/>
    </row>
    <row r="4" spans="1:12" x14ac:dyDescent="0.3">
      <c r="A4" s="22" t="s">
        <v>58</v>
      </c>
      <c r="B4" s="22"/>
      <c r="C4" s="5" t="s">
        <v>59</v>
      </c>
      <c r="D4" s="5" t="s">
        <v>60</v>
      </c>
      <c r="E4" s="27" t="s">
        <v>61</v>
      </c>
      <c r="F4" s="27" t="s">
        <v>62</v>
      </c>
      <c r="G4" s="22" t="s">
        <v>63</v>
      </c>
      <c r="H4" s="22"/>
      <c r="I4" s="28" t="s">
        <v>64</v>
      </c>
      <c r="J4" s="5" t="s">
        <v>65</v>
      </c>
      <c r="K4" s="6"/>
      <c r="L4" s="6"/>
    </row>
    <row r="5" spans="1:12" x14ac:dyDescent="0.3">
      <c r="A5" s="5" t="s">
        <v>66</v>
      </c>
      <c r="B5" s="5" t="s">
        <v>67</v>
      </c>
      <c r="C5" s="5" t="s">
        <v>68</v>
      </c>
      <c r="D5" s="5" t="s">
        <v>68</v>
      </c>
      <c r="E5" s="27"/>
      <c r="F5" s="27"/>
      <c r="G5" s="5" t="s">
        <v>69</v>
      </c>
      <c r="H5" s="5" t="s">
        <v>62</v>
      </c>
      <c r="I5" s="28"/>
      <c r="J5" s="5" t="s">
        <v>70</v>
      </c>
      <c r="K5" s="6"/>
      <c r="L5" s="6"/>
    </row>
    <row r="6" spans="1:12" x14ac:dyDescent="0.3">
      <c r="A6" s="7"/>
      <c r="B6" s="7"/>
      <c r="C6" s="7"/>
      <c r="D6" s="7"/>
      <c r="E6" s="7"/>
      <c r="F6" s="8"/>
      <c r="G6" s="6"/>
      <c r="H6" s="8"/>
      <c r="I6" s="28"/>
      <c r="J6" s="5" t="s">
        <v>71</v>
      </c>
      <c r="K6" s="6"/>
      <c r="L6" s="8"/>
    </row>
    <row r="7" spans="1:12" x14ac:dyDescent="0.3">
      <c r="A7" s="7"/>
      <c r="B7" s="7"/>
      <c r="C7" s="7"/>
      <c r="D7" s="7"/>
      <c r="E7" s="7"/>
      <c r="F7" s="8"/>
      <c r="G7" s="6"/>
      <c r="H7" s="8"/>
      <c r="I7" s="28"/>
      <c r="J7" s="5" t="s">
        <v>72</v>
      </c>
      <c r="K7" s="6"/>
      <c r="L7" s="8"/>
    </row>
    <row r="8" spans="1:12" x14ac:dyDescent="0.3">
      <c r="A8" s="7"/>
      <c r="B8" s="7"/>
      <c r="C8" s="7"/>
      <c r="D8" s="7"/>
      <c r="E8" s="7"/>
      <c r="F8" s="8"/>
      <c r="G8" s="6"/>
      <c r="H8" s="8"/>
      <c r="I8" s="28"/>
      <c r="J8" s="5" t="s">
        <v>73</v>
      </c>
      <c r="K8" s="6"/>
      <c r="L8" s="8"/>
    </row>
    <row r="9" spans="1:12" x14ac:dyDescent="0.3">
      <c r="A9" s="7"/>
      <c r="B9" s="7"/>
      <c r="C9" s="7"/>
      <c r="D9" s="7"/>
      <c r="E9" s="7"/>
      <c r="F9" s="8"/>
      <c r="G9" s="6"/>
      <c r="H9" s="8"/>
      <c r="I9" s="28"/>
      <c r="J9" s="6"/>
      <c r="K9" s="6"/>
      <c r="L9" s="8"/>
    </row>
    <row r="10" spans="1:12" x14ac:dyDescent="0.3">
      <c r="A10" s="7"/>
      <c r="B10" s="7"/>
      <c r="C10" s="7"/>
      <c r="D10" s="7"/>
      <c r="E10" s="7"/>
      <c r="F10" s="8"/>
      <c r="G10" s="6"/>
      <c r="H10" s="8"/>
      <c r="I10" s="28"/>
      <c r="J10" s="6"/>
      <c r="K10" s="6"/>
      <c r="L10" s="8"/>
    </row>
    <row r="11" spans="1:12" x14ac:dyDescent="0.3">
      <c r="A11" s="7"/>
      <c r="B11" s="7"/>
      <c r="C11" s="7"/>
      <c r="D11" s="7"/>
      <c r="E11" s="7"/>
      <c r="F11" s="8"/>
      <c r="G11" s="6"/>
      <c r="H11" s="8"/>
      <c r="I11" s="28"/>
      <c r="J11" s="6"/>
      <c r="K11" s="6"/>
      <c r="L11" s="8"/>
    </row>
    <row r="12" spans="1:12" x14ac:dyDescent="0.3">
      <c r="A12" s="7"/>
      <c r="B12" s="7"/>
      <c r="C12" s="7"/>
      <c r="D12" s="7"/>
      <c r="E12" s="7"/>
      <c r="F12" s="8"/>
      <c r="G12" s="6"/>
      <c r="H12" s="8"/>
      <c r="I12" s="28"/>
      <c r="J12" s="6"/>
      <c r="K12" s="6"/>
      <c r="L12" s="8"/>
    </row>
    <row r="13" spans="1:12" x14ac:dyDescent="0.3">
      <c r="A13" s="7"/>
      <c r="B13" s="7"/>
      <c r="C13" s="7"/>
      <c r="D13" s="7"/>
      <c r="E13" s="7"/>
      <c r="F13" s="8"/>
      <c r="G13" s="6"/>
      <c r="H13" s="8"/>
      <c r="I13" s="28"/>
      <c r="J13" s="6"/>
      <c r="K13" s="6"/>
      <c r="L13" s="8"/>
    </row>
    <row r="14" spans="1:12" x14ac:dyDescent="0.3">
      <c r="A14" s="7"/>
      <c r="B14" s="7"/>
      <c r="C14" s="7"/>
      <c r="D14" s="7"/>
      <c r="E14" s="7"/>
      <c r="F14" s="8"/>
      <c r="G14" s="6"/>
      <c r="H14" s="8"/>
      <c r="I14" s="28"/>
      <c r="J14" s="6"/>
      <c r="K14" s="6"/>
      <c r="L14" s="8"/>
    </row>
    <row r="15" spans="1:12" x14ac:dyDescent="0.3">
      <c r="A15" s="7"/>
      <c r="B15" s="7"/>
      <c r="C15" s="7"/>
      <c r="D15" s="7"/>
      <c r="E15" s="7"/>
      <c r="F15" s="8"/>
      <c r="G15" s="6"/>
      <c r="H15" s="8"/>
      <c r="I15" s="28"/>
      <c r="J15" s="6"/>
      <c r="K15" s="6"/>
      <c r="L15" s="8"/>
    </row>
    <row r="16" spans="1:12" x14ac:dyDescent="0.3">
      <c r="A16" s="22" t="s">
        <v>74</v>
      </c>
      <c r="B16" s="22"/>
      <c r="C16" s="22"/>
      <c r="D16" s="22"/>
      <c r="E16" s="6"/>
      <c r="F16" s="8"/>
      <c r="G16" s="6"/>
      <c r="H16" s="8"/>
      <c r="I16" s="6"/>
      <c r="J16" s="6"/>
      <c r="K16" s="6"/>
      <c r="L16" s="8">
        <f ca="1">SUM(A2:L19)</f>
        <v>0</v>
      </c>
    </row>
    <row r="17" spans="1:12" x14ac:dyDescent="0.3">
      <c r="A17" s="23" t="s">
        <v>75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spans="1:12" x14ac:dyDescent="0.3">
      <c r="A18" s="24" t="s">
        <v>76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2" x14ac:dyDescent="0.3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</row>
  </sheetData>
  <mergeCells count="13">
    <mergeCell ref="A16:D16"/>
    <mergeCell ref="A17:L17"/>
    <mergeCell ref="A18:L19"/>
    <mergeCell ref="A1:L1"/>
    <mergeCell ref="A2:B2"/>
    <mergeCell ref="J2:L2"/>
    <mergeCell ref="A3:B3"/>
    <mergeCell ref="H3:L3"/>
    <mergeCell ref="A4:B4"/>
    <mergeCell ref="E4:E5"/>
    <mergeCell ref="F4:F5"/>
    <mergeCell ref="G4:H4"/>
    <mergeCell ref="I4:I15"/>
  </mergeCells>
  <phoneticPr fontId="1" type="noConversion"/>
  <dataValidations count="1">
    <dataValidation type="list" allowBlank="1" showInputMessage="1" showErrorMessage="1" promptTitle="部门" prompt="请选择部门" sqref="A2:I2" xr:uid="{23DF094C-A054-4FCC-9484-CD53A3F4D49E}">
      <formula1>"人事部，财务部，销售部，采购部，供应部"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9EE5-AD40-4A90-902A-E96937DDB380}">
  <dimension ref="A1:N15"/>
  <sheetViews>
    <sheetView tabSelected="1" zoomScale="145" zoomScaleNormal="145" workbookViewId="0">
      <selection activeCell="J12" sqref="J12"/>
    </sheetView>
  </sheetViews>
  <sheetFormatPr defaultRowHeight="14" x14ac:dyDescent="0.3"/>
  <sheetData>
    <row r="1" spans="1:14" ht="14.5" thickBot="1" x14ac:dyDescent="0.35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/>
    </row>
    <row r="2" spans="1:14" x14ac:dyDescent="0.3">
      <c r="A2" s="12"/>
      <c r="B2" s="37" t="s">
        <v>77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  <c r="N2" s="13"/>
    </row>
    <row r="3" spans="1:14" x14ac:dyDescent="0.3">
      <c r="A3" s="12"/>
      <c r="B3" s="14" t="s">
        <v>78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3"/>
    </row>
    <row r="4" spans="1:14" x14ac:dyDescent="0.3">
      <c r="A4" s="12"/>
      <c r="B4" s="14" t="s">
        <v>79</v>
      </c>
      <c r="C4" s="16"/>
      <c r="D4" s="14" t="s">
        <v>80</v>
      </c>
      <c r="E4" s="15"/>
      <c r="F4" s="14" t="s">
        <v>81</v>
      </c>
      <c r="G4" s="15"/>
      <c r="H4" s="14" t="s">
        <v>82</v>
      </c>
      <c r="I4" s="40"/>
      <c r="J4" s="40"/>
      <c r="K4" s="40"/>
      <c r="L4" s="40"/>
      <c r="M4" s="40"/>
      <c r="N4" s="13"/>
    </row>
    <row r="5" spans="1:14" x14ac:dyDescent="0.3">
      <c r="A5" s="12"/>
      <c r="B5" s="14" t="s">
        <v>83</v>
      </c>
      <c r="C5" s="15"/>
      <c r="D5" s="14" t="s">
        <v>84</v>
      </c>
      <c r="E5" s="15"/>
      <c r="F5" s="14" t="s">
        <v>85</v>
      </c>
      <c r="G5" s="15"/>
      <c r="H5" s="14" t="s">
        <v>86</v>
      </c>
      <c r="I5" s="29" t="s">
        <v>87</v>
      </c>
      <c r="J5" s="29"/>
      <c r="K5" s="29"/>
      <c r="L5" s="29"/>
      <c r="M5" s="29"/>
      <c r="N5" s="13"/>
    </row>
    <row r="6" spans="1:14" x14ac:dyDescent="0.3">
      <c r="A6" s="12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13"/>
    </row>
    <row r="7" spans="1:14" x14ac:dyDescent="0.3">
      <c r="A7" s="12"/>
      <c r="B7" s="14" t="s">
        <v>1</v>
      </c>
      <c r="C7" s="29" t="s">
        <v>88</v>
      </c>
      <c r="D7" s="29"/>
      <c r="E7" s="29"/>
      <c r="F7" s="29"/>
      <c r="G7" s="29"/>
      <c r="H7" s="29"/>
      <c r="I7" s="29" t="s">
        <v>89</v>
      </c>
      <c r="J7" s="29"/>
      <c r="K7" s="29"/>
      <c r="L7" s="29"/>
      <c r="M7" s="29"/>
      <c r="N7" s="13"/>
    </row>
    <row r="8" spans="1:14" x14ac:dyDescent="0.3">
      <c r="A8" s="12"/>
      <c r="B8" s="14">
        <v>1</v>
      </c>
      <c r="C8" s="33"/>
      <c r="D8" s="34"/>
      <c r="E8" s="34"/>
      <c r="F8" s="34"/>
      <c r="G8" s="34"/>
      <c r="H8" s="35"/>
      <c r="I8" s="30">
        <v>100</v>
      </c>
      <c r="J8" s="31"/>
      <c r="K8" s="31"/>
      <c r="L8" s="31"/>
      <c r="M8" s="31"/>
      <c r="N8" s="13"/>
    </row>
    <row r="9" spans="1:14" x14ac:dyDescent="0.3">
      <c r="A9" s="12"/>
      <c r="B9" s="14">
        <v>2</v>
      </c>
      <c r="C9" s="33"/>
      <c r="D9" s="34"/>
      <c r="E9" s="34"/>
      <c r="F9" s="34"/>
      <c r="G9" s="34"/>
      <c r="H9" s="35"/>
      <c r="I9" s="30">
        <v>100</v>
      </c>
      <c r="J9" s="31"/>
      <c r="K9" s="31"/>
      <c r="L9" s="31"/>
      <c r="M9" s="32"/>
      <c r="N9" s="13"/>
    </row>
    <row r="10" spans="1:14" x14ac:dyDescent="0.3">
      <c r="A10" s="12"/>
      <c r="B10" s="14">
        <v>3</v>
      </c>
      <c r="C10" s="33"/>
      <c r="D10" s="34"/>
      <c r="E10" s="34"/>
      <c r="F10" s="34"/>
      <c r="G10" s="34"/>
      <c r="H10" s="35"/>
      <c r="I10" s="30">
        <v>100</v>
      </c>
      <c r="J10" s="31"/>
      <c r="K10" s="31"/>
      <c r="L10" s="31"/>
      <c r="M10" s="32"/>
      <c r="N10" s="13"/>
    </row>
    <row r="11" spans="1:14" x14ac:dyDescent="0.3">
      <c r="A11" s="12"/>
      <c r="B11" s="29" t="s">
        <v>90</v>
      </c>
      <c r="C11" s="29"/>
      <c r="D11" s="14" t="s">
        <v>91</v>
      </c>
      <c r="E11" s="30"/>
      <c r="F11" s="31"/>
      <c r="G11" s="31"/>
      <c r="H11" s="32"/>
      <c r="I11" s="14" t="s">
        <v>92</v>
      </c>
      <c r="J11" s="33">
        <f>ROUND(SUM(I8:M10),2)</f>
        <v>300</v>
      </c>
      <c r="K11" s="34"/>
      <c r="L11" s="34"/>
      <c r="M11" s="35"/>
      <c r="N11" s="13"/>
    </row>
    <row r="12" spans="1:14" x14ac:dyDescent="0.3">
      <c r="A12" s="12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3"/>
    </row>
    <row r="13" spans="1:14" x14ac:dyDescent="0.3">
      <c r="A13" s="12"/>
      <c r="B13" s="36" t="s">
        <v>93</v>
      </c>
      <c r="C13" s="15"/>
      <c r="D13" s="14" t="s">
        <v>94</v>
      </c>
      <c r="E13" s="15"/>
      <c r="F13" s="14" t="s">
        <v>95</v>
      </c>
      <c r="G13" s="15"/>
      <c r="H13" s="14" t="s">
        <v>96</v>
      </c>
      <c r="I13" s="15"/>
      <c r="J13" s="33"/>
      <c r="K13" s="34"/>
      <c r="L13" s="34"/>
      <c r="M13" s="35"/>
      <c r="N13" s="13"/>
    </row>
    <row r="14" spans="1:14" x14ac:dyDescent="0.3">
      <c r="A14" s="12"/>
      <c r="B14" s="36"/>
      <c r="C14" s="15"/>
      <c r="D14" s="14" t="s">
        <v>97</v>
      </c>
      <c r="E14" s="15"/>
      <c r="F14" s="14" t="s">
        <v>98</v>
      </c>
      <c r="G14" s="15"/>
      <c r="H14" s="14" t="s">
        <v>99</v>
      </c>
      <c r="I14" s="15"/>
      <c r="J14" s="33"/>
      <c r="K14" s="34"/>
      <c r="L14" s="34"/>
      <c r="M14" s="35"/>
      <c r="N14" s="13"/>
    </row>
    <row r="15" spans="1:14" x14ac:dyDescent="0.3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20"/>
    </row>
  </sheetData>
  <mergeCells count="18">
    <mergeCell ref="B2:M2"/>
    <mergeCell ref="I4:M4"/>
    <mergeCell ref="I5:M5"/>
    <mergeCell ref="B6:M6"/>
    <mergeCell ref="C7:H7"/>
    <mergeCell ref="I7:M7"/>
    <mergeCell ref="C8:H8"/>
    <mergeCell ref="I8:M8"/>
    <mergeCell ref="C9:H9"/>
    <mergeCell ref="I9:M9"/>
    <mergeCell ref="C10:H10"/>
    <mergeCell ref="I10:M10"/>
    <mergeCell ref="B11:C11"/>
    <mergeCell ref="E11:H11"/>
    <mergeCell ref="J11:M11"/>
    <mergeCell ref="B13:B14"/>
    <mergeCell ref="J13:M13"/>
    <mergeCell ref="J14:M14"/>
  </mergeCells>
  <phoneticPr fontId="1" type="noConversion"/>
  <dataValidations count="2">
    <dataValidation type="list" allowBlank="1" showInputMessage="1" showErrorMessage="1" sqref="G4" xr:uid="{F14DCBAE-BD01-4185-BB3A-D6F6EE727E60}">
      <formula1>"销售部,行政部,企划部"</formula1>
    </dataValidation>
    <dataValidation type="list" allowBlank="1" showInputMessage="1" showErrorMessage="1" sqref="C3" xr:uid="{C6DE949B-2521-4D77-ADDE-EE67483373C6}">
      <formula1>"A公司,B公司,C公司"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2401yj 工作表</vt:lpstr>
      <vt:lpstr>差旅费报销单</vt:lpstr>
      <vt:lpstr>员工借款单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 未</cp:lastModifiedBy>
  <dcterms:created xsi:type="dcterms:W3CDTF">2015-06-05T18:19:34Z</dcterms:created>
  <dcterms:modified xsi:type="dcterms:W3CDTF">2025-03-07T06:09:12Z</dcterms:modified>
</cp:coreProperties>
</file>